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<sst xmlns="http://schemas.openxmlformats.org/spreadsheetml/2006/main" count="270" uniqueCount="201">
  <si>
    <t>ID</t>
  </si>
  <si>
    <t>First Name</t>
  </si>
  <si>
    <t>Last Name</t>
  </si>
  <si>
    <t>University</t>
  </si>
  <si>
    <t>Grad Year</t>
  </si>
  <si>
    <t>Major</t>
  </si>
  <si>
    <t>GPA</t>
  </si>
  <si>
    <t>CF Handle</t>
  </si>
  <si>
    <t>CF Rank</t>
  </si>
  <si>
    <t>CF Rating</t>
  </si>
  <si>
    <t>LeetCode</t>
  </si>
  <si>
    <t>GitHub</t>
  </si>
  <si>
    <t>LinkedIn</t>
  </si>
  <si>
    <t>Email</t>
  </si>
  <si>
    <t>Phone</t>
  </si>
  <si>
    <t>Pref Role</t>
  </si>
  <si>
    <t>Pref Location</t>
  </si>
  <si>
    <t>Relocate?</t>
  </si>
  <si>
    <t>Past Intern 1</t>
  </si>
  <si>
    <t>Past Intern 2</t>
  </si>
  <si>
    <t>Tech Stack</t>
  </si>
  <si>
    <t>Event</t>
  </si>
  <si>
    <t>Stage</t>
  </si>
  <si>
    <t>Event Score</t>
  </si>
  <si>
    <t>Math Score</t>
  </si>
  <si>
    <t>System Design</t>
  </si>
  <si>
    <t>Availability</t>
  </si>
  <si>
    <t>Salary Exp.</t>
  </si>
  <si>
    <t>Notes</t>
  </si>
  <si>
    <t>Pipeline Status</t>
  </si>
  <si>
    <t>Yuto</t>
  </si>
  <si>
    <t>Watanabe</t>
  </si>
  <si>
    <t>IIT Bombay</t>
  </si>
  <si>
    <t>Comp Sci</t>
  </si>
  <si>
    <t>yuto_w</t>
  </si>
  <si>
    <t>Grandmaster</t>
  </si>
  <si>
    <t>/yuto-dev</t>
  </si>
  <si>
    <t>/in/yuto</t>
  </si>
  <si>
    <t>yuto@email.com</t>
  </si>
  <si>
    <t>Quant</t>
  </si>
  <si>
    <t>London</t>
  </si>
  <si>
    <t>Yes</t>
  </si>
  <si>
    <t>Optiver</t>
  </si>
  <si>
    <t>Tower Research</t>
  </si>
  <si>
    <t>C++, Python</t>
  </si>
  <si>
    <t>CodeFest</t>
  </si>
  <si>
    <t>Winner</t>
  </si>
  <si>
    <t>99/100</t>
  </si>
  <si>
    <t>48/50</t>
  </si>
  <si>
    <t>95/100</t>
  </si>
  <si>
    <t>Immediate</t>
  </si>
  <si>
    <t>$250k+</t>
  </si>
  <si>
    <t>Brilliant DP skills.</t>
  </si>
  <si>
    <t>Diamond Ready</t>
  </si>
  <si>
    <t>Priya</t>
  </si>
  <si>
    <t>Patel</t>
  </si>
  <si>
    <t>IIT Delhi</t>
  </si>
  <si>
    <t>Math</t>
  </si>
  <si>
    <t>priya_p</t>
  </si>
  <si>
    <t>Master</t>
  </si>
  <si>
    <t>/priyacodes</t>
  </si>
  <si>
    <t>/in/priyap</t>
  </si>
  <si>
    <t>priya@email.com</t>
  </si>
  <si>
    <t>SWE</t>
  </si>
  <si>
    <t>New York</t>
  </si>
  <si>
    <t>Google</t>
  </si>
  <si>
    <t>None</t>
  </si>
  <si>
    <t>Java, Go</t>
  </si>
  <si>
    <t>QuantFest</t>
  </si>
  <si>
    <t>Finalist</t>
  </si>
  <si>
    <t>92/100</t>
  </si>
  <si>
    <t>49/50</t>
  </si>
  <si>
    <t>88/100</t>
  </si>
  <si>
    <t>Summer '26</t>
  </si>
  <si>
    <t>$180k+</t>
  </si>
  <si>
    <t>High signal in probability.</t>
  </si>
  <si>
    <t>Platinum Pool</t>
  </si>
  <si>
    <t>Rohan</t>
  </si>
  <si>
    <t>Desai</t>
  </si>
  <si>
    <t>BITS Pilani</t>
  </si>
  <si>
    <t>Physics</t>
  </si>
  <si>
    <t>rohan_d</t>
  </si>
  <si>
    <t>Expert</t>
  </si>
  <si>
    <t>/rohan-d</t>
  </si>
  <si>
    <t>/in/rohand</t>
  </si>
  <si>
    <t>rohan@email.com</t>
  </si>
  <si>
    <t>HFT Infra</t>
  </si>
  <si>
    <t>Chicago</t>
  </si>
  <si>
    <t>Citadel</t>
  </si>
  <si>
    <t>Jane Street</t>
  </si>
  <si>
    <t>Rust, C</t>
  </si>
  <si>
    <t>Regional</t>
  </si>
  <si>
    <t>85/100</t>
  </si>
  <si>
    <t>42/50</t>
  </si>
  <si>
    <t>98/100</t>
  </si>
  <si>
    <t>Summer '27</t>
  </si>
  <si>
    <t>$200k+</t>
  </si>
  <si>
    <t>Low-latency systems expert.</t>
  </si>
  <si>
    <t>Kriti</t>
  </si>
  <si>
    <t>Sharma</t>
  </si>
  <si>
    <t>IIT Kanpur</t>
  </si>
  <si>
    <t>kriti_s</t>
  </si>
  <si>
    <t>Cand. Master</t>
  </si>
  <si>
    <t>/kriti-s</t>
  </si>
  <si>
    <t>/in/kritis</t>
  </si>
  <si>
    <t>kriti@email.com</t>
  </si>
  <si>
    <t>Quant Dev</t>
  </si>
  <si>
    <t>Singapore</t>
  </si>
  <si>
    <t>No</t>
  </si>
  <si>
    <t>HRT</t>
  </si>
  <si>
    <t>Python, SQL</t>
  </si>
  <si>
    <t>97/100</t>
  </si>
  <si>
    <t>50/50</t>
  </si>
  <si>
    <t>90/100</t>
  </si>
  <si>
    <t>$220k+</t>
  </si>
  <si>
    <t>Flawless stochastic calc.</t>
  </si>
  <si>
    <t>Arjun</t>
  </si>
  <si>
    <t>Reddy</t>
  </si>
  <si>
    <t>IIT Madras</t>
  </si>
  <si>
    <t>arjun_r</t>
  </si>
  <si>
    <t>Specialist</t>
  </si>
  <si>
    <t>/arjun-r</t>
  </si>
  <si>
    <t>/in/arjunr</t>
  </si>
  <si>
    <t>arjun@email.com</t>
  </si>
  <si>
    <t>Bengaluru</t>
  </si>
  <si>
    <t>Amazon</t>
  </si>
  <si>
    <t>Microsoft</t>
  </si>
  <si>
    <t>JS, React, Node</t>
  </si>
  <si>
    <t>35/50</t>
  </si>
  <si>
    <t>$100k+</t>
  </si>
  <si>
    <t>Strong full-stack chops.</t>
  </si>
  <si>
    <t>Gold Pool</t>
  </si>
  <si>
    <t>Sneha</t>
  </si>
  <si>
    <t>Gupta</t>
  </si>
  <si>
    <t>IIIT Hyderabad</t>
  </si>
  <si>
    <t>sneha_g</t>
  </si>
  <si>
    <t>/sneha-g</t>
  </si>
  <si>
    <t>/in/snehag</t>
  </si>
  <si>
    <t>sneha@email.com</t>
  </si>
  <si>
    <t>Core Dev</t>
  </si>
  <si>
    <t>D.E. Shaw</t>
  </si>
  <si>
    <t>C++, Rust</t>
  </si>
  <si>
    <t>94/100</t>
  </si>
  <si>
    <t>45/50</t>
  </si>
  <si>
    <t>$190k+</t>
  </si>
  <si>
    <t>Elite compiler knowledge.</t>
  </si>
  <si>
    <t>Aarav</t>
  </si>
  <si>
    <t>Singh</t>
  </si>
  <si>
    <t>IIT Roorkee</t>
  </si>
  <si>
    <t>aarav_s</t>
  </si>
  <si>
    <t>/aarav-s</t>
  </si>
  <si>
    <t>/in/aaravs</t>
  </si>
  <si>
    <t>aarav@email.com</t>
  </si>
  <si>
    <t>Remote</t>
  </si>
  <si>
    <t>Startup</t>
  </si>
  <si>
    <t>Python, TS</t>
  </si>
  <si>
    <t>78/100</t>
  </si>
  <si>
    <t>40/50</t>
  </si>
  <si>
    <t>80/100</t>
  </si>
  <si>
    <t>$120k+</t>
  </si>
  <si>
    <t>Good baseline, needs prep.</t>
  </si>
  <si>
    <t>Mia</t>
  </si>
  <si>
    <t>Chen</t>
  </si>
  <si>
    <t>MIT (US)</t>
  </si>
  <si>
    <t>mia_c</t>
  </si>
  <si>
    <t>/mia-c</t>
  </si>
  <si>
    <t>/in/miac</t>
  </si>
  <si>
    <t>mia@email.com</t>
  </si>
  <si>
    <t>Quant Res.</t>
  </si>
  <si>
    <t>Python, R</t>
  </si>
  <si>
    <t>100/100</t>
  </si>
  <si>
    <t>$300k+</t>
  </si>
  <si>
    <t>Generational talent.</t>
  </si>
  <si>
    <t>Kabir</t>
  </si>
  <si>
    <t>Joshi</t>
  </si>
  <si>
    <t>IIT Kharagpur</t>
  </si>
  <si>
    <t>kabir_j</t>
  </si>
  <si>
    <t>/kabir-j</t>
  </si>
  <si>
    <t>/in/kabirj</t>
  </si>
  <si>
    <t>kabir@email.com</t>
  </si>
  <si>
    <t>IMC Trading</t>
  </si>
  <si>
    <t>C++, ASM</t>
  </si>
  <si>
    <t>91/100</t>
  </si>
  <si>
    <t>44/50</t>
  </si>
  <si>
    <t>96/100</t>
  </si>
  <si>
    <t>$210k+</t>
  </si>
  <si>
    <t>Hardware acceleration.</t>
  </si>
  <si>
    <t>Zara</t>
  </si>
  <si>
    <t>Khan</t>
  </si>
  <si>
    <t>BITS Goa</t>
  </si>
  <si>
    <t>zara_k</t>
  </si>
  <si>
    <t>/zara-k</t>
  </si>
  <si>
    <t>/in/zarak</t>
  </si>
  <si>
    <t>zara@email.com</t>
  </si>
  <si>
    <t>Rubrik</t>
  </si>
  <si>
    <t>Go, K8s</t>
  </si>
  <si>
    <t>82/100</t>
  </si>
  <si>
    <t>38/50</t>
  </si>
  <si>
    <t>89/100</t>
  </si>
  <si>
    <t>$150k+</t>
  </si>
  <si>
    <t>Distributed systems focus.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</si>
</sst>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>
        <v>101.0</v>
      </c>
      <c r="B2" s="1" t="s">
        <v>30</v>
      </c>
      <c r="C2" s="1" t="s">
        <v>31</v>
      </c>
      <c r="D2" s="1" t="s">
        <v>32</v>
      </c>
      <c r="E2" s="1">
        <v>2026.0</v>
      </c>
      <c r="F2" s="1" t="s">
        <v>33</v>
      </c>
      <c r="G2" s="1">
        <v>9.8</v>
      </c>
      <c r="H2" s="1" t="s">
        <v>34</v>
      </c>
      <c r="I2" s="1" t="s">
        <v>35</v>
      </c>
      <c r="J2" s="1">
        <v>2450.0</v>
      </c>
      <c r="K2" s="1">
        <v>2800.0</v>
      </c>
      <c r="L2" s="1" t="s">
        <v>36</v>
      </c>
      <c r="M2" s="1" t="s">
        <v>37</v>
      </c>
      <c r="N2" s="1" t="s">
        <v>38</v>
      </c>
      <c r="O2" s="2">
        <f>+91-9876543210</f>
        <v>-9876543119</v>
      </c>
      <c r="P2" s="1" t="s">
        <v>39</v>
      </c>
      <c r="Q2" s="1" t="s">
        <v>40</v>
      </c>
      <c r="R2" s="1" t="s">
        <v>41</v>
      </c>
      <c r="S2" s="1" t="s">
        <v>42</v>
      </c>
      <c r="T2" s="1" t="s">
        <v>43</v>
      </c>
      <c r="U2" s="1" t="s">
        <v>44</v>
      </c>
      <c r="V2" s="1" t="s">
        <v>45</v>
      </c>
      <c r="W2" s="1" t="s">
        <v>46</v>
      </c>
      <c r="X2" s="1" t="s">
        <v>47</v>
      </c>
      <c r="Y2" s="1" t="s">
        <v>48</v>
      </c>
      <c r="Z2" s="1" t="s">
        <v>49</v>
      </c>
      <c r="AA2" s="1" t="s">
        <v>50</v>
      </c>
      <c r="AB2" s="1" t="s">
        <v>51</v>
      </c>
      <c r="AC2" s="1" t="s">
        <v>52</v>
      </c>
      <c r="AD2" s="1" t="s">
        <v>53</v>
      </c>
    </row>
    <row r="3">
      <c r="A3" s="1">
        <v>102.0</v>
      </c>
      <c r="B3" s="1" t="s">
        <v>54</v>
      </c>
      <c r="C3" s="1" t="s">
        <v>55</v>
      </c>
      <c r="D3" s="1" t="s">
        <v>56</v>
      </c>
      <c r="E3" s="1">
        <v>2026.0</v>
      </c>
      <c r="F3" s="1" t="s">
        <v>57</v>
      </c>
      <c r="G3" s="1">
        <v>9.5</v>
      </c>
      <c r="H3" s="1" t="s">
        <v>58</v>
      </c>
      <c r="I3" s="1" t="s">
        <v>59</v>
      </c>
      <c r="J3" s="1">
        <v>2150.0</v>
      </c>
      <c r="K3" s="1">
        <v>2650.0</v>
      </c>
      <c r="L3" s="1" t="s">
        <v>60</v>
      </c>
      <c r="M3" s="1" t="s">
        <v>61</v>
      </c>
      <c r="N3" s="1" t="s">
        <v>62</v>
      </c>
      <c r="O3" s="2">
        <f>+91-9876543211</f>
        <v>-9876543120</v>
      </c>
      <c r="P3" s="1" t="s">
        <v>63</v>
      </c>
      <c r="Q3" s="1" t="s">
        <v>64</v>
      </c>
      <c r="R3" s="1" t="s">
        <v>41</v>
      </c>
      <c r="S3" s="1" t="s">
        <v>65</v>
      </c>
      <c r="T3" s="1" t="s">
        <v>66</v>
      </c>
      <c r="U3" s="1" t="s">
        <v>67</v>
      </c>
      <c r="V3" s="1" t="s">
        <v>68</v>
      </c>
      <c r="W3" s="1" t="s">
        <v>69</v>
      </c>
      <c r="X3" s="1" t="s">
        <v>70</v>
      </c>
      <c r="Y3" s="1" t="s">
        <v>71</v>
      </c>
      <c r="Z3" s="1" t="s">
        <v>72</v>
      </c>
      <c r="AA3" s="1" t="s">
        <v>73</v>
      </c>
      <c r="AB3" s="1" t="s">
        <v>74</v>
      </c>
      <c r="AC3" s="1" t="s">
        <v>75</v>
      </c>
      <c r="AD3" s="1" t="s">
        <v>76</v>
      </c>
    </row>
    <row r="4">
      <c r="A4" s="1">
        <v>103.0</v>
      </c>
      <c r="B4" s="1" t="s">
        <v>77</v>
      </c>
      <c r="C4" s="1" t="s">
        <v>78</v>
      </c>
      <c r="D4" s="1" t="s">
        <v>79</v>
      </c>
      <c r="E4" s="1">
        <v>2027.0</v>
      </c>
      <c r="F4" s="1" t="s">
        <v>80</v>
      </c>
      <c r="G4" s="1">
        <v>9.2</v>
      </c>
      <c r="H4" s="1" t="s">
        <v>81</v>
      </c>
      <c r="I4" s="1" t="s">
        <v>82</v>
      </c>
      <c r="J4" s="1">
        <v>1850.0</v>
      </c>
      <c r="K4" s="1">
        <v>2200.0</v>
      </c>
      <c r="L4" s="1" t="s">
        <v>83</v>
      </c>
      <c r="M4" s="1" t="s">
        <v>84</v>
      </c>
      <c r="N4" s="1" t="s">
        <v>85</v>
      </c>
      <c r="O4" s="2">
        <f>+91-9876543212</f>
        <v>-9876543121</v>
      </c>
      <c r="P4" s="1" t="s">
        <v>86</v>
      </c>
      <c r="Q4" s="1" t="s">
        <v>87</v>
      </c>
      <c r="R4" s="1" t="s">
        <v>41</v>
      </c>
      <c r="S4" s="1" t="s">
        <v>88</v>
      </c>
      <c r="T4" s="1" t="s">
        <v>89</v>
      </c>
      <c r="U4" s="1" t="s">
        <v>90</v>
      </c>
      <c r="V4" s="1" t="s">
        <v>45</v>
      </c>
      <c r="W4" s="1" t="s">
        <v>91</v>
      </c>
      <c r="X4" s="1" t="s">
        <v>92</v>
      </c>
      <c r="Y4" s="1" t="s">
        <v>93</v>
      </c>
      <c r="Z4" s="1" t="s">
        <v>94</v>
      </c>
      <c r="AA4" s="1" t="s">
        <v>95</v>
      </c>
      <c r="AB4" s="1" t="s">
        <v>96</v>
      </c>
      <c r="AC4" s="1" t="s">
        <v>97</v>
      </c>
      <c r="AD4" s="1" t="s">
        <v>53</v>
      </c>
    </row>
    <row r="5">
      <c r="A5" s="1">
        <v>104.0</v>
      </c>
      <c r="B5" s="1" t="s">
        <v>98</v>
      </c>
      <c r="C5" s="1" t="s">
        <v>99</v>
      </c>
      <c r="D5" s="1" t="s">
        <v>100</v>
      </c>
      <c r="E5" s="1">
        <v>2026.0</v>
      </c>
      <c r="F5" s="1" t="s">
        <v>33</v>
      </c>
      <c r="G5" s="1">
        <v>9.9</v>
      </c>
      <c r="H5" s="1" t="s">
        <v>101</v>
      </c>
      <c r="I5" s="1" t="s">
        <v>102</v>
      </c>
      <c r="J5" s="1">
        <v>1980.0</v>
      </c>
      <c r="K5" s="1">
        <v>2500.0</v>
      </c>
      <c r="L5" s="1" t="s">
        <v>103</v>
      </c>
      <c r="M5" s="1" t="s">
        <v>104</v>
      </c>
      <c r="N5" s="1" t="s">
        <v>105</v>
      </c>
      <c r="O5" s="2">
        <f>+91-9876543213</f>
        <v>-9876543122</v>
      </c>
      <c r="P5" s="1" t="s">
        <v>106</v>
      </c>
      <c r="Q5" s="1" t="s">
        <v>107</v>
      </c>
      <c r="R5" s="1" t="s">
        <v>108</v>
      </c>
      <c r="S5" s="1" t="s">
        <v>109</v>
      </c>
      <c r="T5" s="1" t="s">
        <v>66</v>
      </c>
      <c r="U5" s="1" t="s">
        <v>110</v>
      </c>
      <c r="V5" s="1" t="s">
        <v>68</v>
      </c>
      <c r="W5" s="1" t="s">
        <v>46</v>
      </c>
      <c r="X5" s="1" t="s">
        <v>111</v>
      </c>
      <c r="Y5" s="1" t="s">
        <v>112</v>
      </c>
      <c r="Z5" s="1" t="s">
        <v>113</v>
      </c>
      <c r="AA5" s="1" t="s">
        <v>50</v>
      </c>
      <c r="AB5" s="1" t="s">
        <v>114</v>
      </c>
      <c r="AC5" s="1" t="s">
        <v>115</v>
      </c>
      <c r="AD5" s="1" t="s">
        <v>53</v>
      </c>
    </row>
    <row r="6">
      <c r="A6" s="1">
        <v>105.0</v>
      </c>
      <c r="B6" s="1" t="s">
        <v>116</v>
      </c>
      <c r="C6" s="1" t="s">
        <v>117</v>
      </c>
      <c r="D6" s="1" t="s">
        <v>118</v>
      </c>
      <c r="E6" s="1">
        <v>2026.0</v>
      </c>
      <c r="F6" s="1" t="s">
        <v>33</v>
      </c>
      <c r="G6" s="1">
        <v>9.1</v>
      </c>
      <c r="H6" s="1" t="s">
        <v>119</v>
      </c>
      <c r="I6" s="1" t="s">
        <v>120</v>
      </c>
      <c r="J6" s="1">
        <v>1550.0</v>
      </c>
      <c r="K6" s="1">
        <v>2100.0</v>
      </c>
      <c r="L6" s="1" t="s">
        <v>121</v>
      </c>
      <c r="M6" s="1" t="s">
        <v>122</v>
      </c>
      <c r="N6" s="1" t="s">
        <v>123</v>
      </c>
      <c r="O6" s="2">
        <f>+91-9876543214</f>
        <v>-9876543123</v>
      </c>
      <c r="P6" s="1" t="s">
        <v>63</v>
      </c>
      <c r="Q6" s="1" t="s">
        <v>124</v>
      </c>
      <c r="R6" s="1" t="s">
        <v>41</v>
      </c>
      <c r="S6" s="1" t="s">
        <v>125</v>
      </c>
      <c r="T6" s="1" t="s">
        <v>126</v>
      </c>
      <c r="U6" s="1" t="s">
        <v>127</v>
      </c>
      <c r="V6" s="1" t="s">
        <v>45</v>
      </c>
      <c r="W6" s="1" t="s">
        <v>69</v>
      </c>
      <c r="X6" s="1" t="s">
        <v>72</v>
      </c>
      <c r="Y6" s="1" t="s">
        <v>128</v>
      </c>
      <c r="Z6" s="1" t="s">
        <v>92</v>
      </c>
      <c r="AA6" s="1" t="s">
        <v>50</v>
      </c>
      <c r="AB6" s="1" t="s">
        <v>129</v>
      </c>
      <c r="AC6" s="1" t="s">
        <v>130</v>
      </c>
      <c r="AD6" s="1" t="s">
        <v>131</v>
      </c>
    </row>
    <row r="7">
      <c r="A7" s="1">
        <v>106.0</v>
      </c>
      <c r="B7" s="1" t="s">
        <v>132</v>
      </c>
      <c r="C7" s="1" t="s">
        <v>133</v>
      </c>
      <c r="D7" s="1" t="s">
        <v>134</v>
      </c>
      <c r="E7" s="1">
        <v>2027.0</v>
      </c>
      <c r="F7" s="1" t="s">
        <v>33</v>
      </c>
      <c r="G7" s="1">
        <v>9.6</v>
      </c>
      <c r="H7" s="1" t="s">
        <v>135</v>
      </c>
      <c r="I7" s="1" t="s">
        <v>59</v>
      </c>
      <c r="J7" s="1">
        <v>2100.0</v>
      </c>
      <c r="K7" s="1">
        <v>2600.0</v>
      </c>
      <c r="L7" s="1" t="s">
        <v>136</v>
      </c>
      <c r="M7" s="1" t="s">
        <v>137</v>
      </c>
      <c r="N7" s="1" t="s">
        <v>138</v>
      </c>
      <c r="O7" s="2">
        <f>+91-9876543215</f>
        <v>-9876543124</v>
      </c>
      <c r="P7" s="1" t="s">
        <v>139</v>
      </c>
      <c r="Q7" s="1" t="s">
        <v>40</v>
      </c>
      <c r="R7" s="1" t="s">
        <v>41</v>
      </c>
      <c r="S7" s="1" t="s">
        <v>140</v>
      </c>
      <c r="T7" s="1" t="s">
        <v>66</v>
      </c>
      <c r="U7" s="1" t="s">
        <v>141</v>
      </c>
      <c r="V7" s="1" t="s">
        <v>45</v>
      </c>
      <c r="W7" s="1" t="s">
        <v>69</v>
      </c>
      <c r="X7" s="1" t="s">
        <v>142</v>
      </c>
      <c r="Y7" s="1" t="s">
        <v>143</v>
      </c>
      <c r="Z7" s="1" t="s">
        <v>70</v>
      </c>
      <c r="AA7" s="1" t="s">
        <v>95</v>
      </c>
      <c r="AB7" s="1" t="s">
        <v>144</v>
      </c>
      <c r="AC7" s="1" t="s">
        <v>145</v>
      </c>
      <c r="AD7" s="1" t="s">
        <v>76</v>
      </c>
    </row>
    <row r="8">
      <c r="A8" s="1">
        <v>107.0</v>
      </c>
      <c r="B8" s="1" t="s">
        <v>146</v>
      </c>
      <c r="C8" s="1" t="s">
        <v>147</v>
      </c>
      <c r="D8" s="1" t="s">
        <v>148</v>
      </c>
      <c r="E8" s="1">
        <v>2026.0</v>
      </c>
      <c r="F8" s="1" t="s">
        <v>57</v>
      </c>
      <c r="G8" s="1">
        <v>8.9</v>
      </c>
      <c r="H8" s="1" t="s">
        <v>149</v>
      </c>
      <c r="I8" s="1" t="s">
        <v>82</v>
      </c>
      <c r="J8" s="1">
        <v>1700.0</v>
      </c>
      <c r="K8" s="1">
        <v>2000.0</v>
      </c>
      <c r="L8" s="1" t="s">
        <v>150</v>
      </c>
      <c r="M8" s="1" t="s">
        <v>151</v>
      </c>
      <c r="N8" s="1" t="s">
        <v>152</v>
      </c>
      <c r="O8" s="2">
        <f>+91-9876543216</f>
        <v>-9876543125</v>
      </c>
      <c r="P8" s="1" t="s">
        <v>63</v>
      </c>
      <c r="Q8" s="1" t="s">
        <v>153</v>
      </c>
      <c r="R8" s="1" t="s">
        <v>108</v>
      </c>
      <c r="S8" s="1" t="s">
        <v>154</v>
      </c>
      <c r="T8" s="1" t="s">
        <v>66</v>
      </c>
      <c r="U8" s="1" t="s">
        <v>155</v>
      </c>
      <c r="V8" s="1" t="s">
        <v>68</v>
      </c>
      <c r="W8" s="1" t="s">
        <v>91</v>
      </c>
      <c r="X8" s="1" t="s">
        <v>156</v>
      </c>
      <c r="Y8" s="1" t="s">
        <v>157</v>
      </c>
      <c r="Z8" s="1" t="s">
        <v>158</v>
      </c>
      <c r="AA8" s="1" t="s">
        <v>50</v>
      </c>
      <c r="AB8" s="1" t="s">
        <v>159</v>
      </c>
      <c r="AC8" s="1" t="s">
        <v>160</v>
      </c>
      <c r="AD8" s="1" t="s">
        <v>131</v>
      </c>
    </row>
    <row r="9">
      <c r="A9" s="1">
        <v>108.0</v>
      </c>
      <c r="B9" s="1" t="s">
        <v>161</v>
      </c>
      <c r="C9" s="1" t="s">
        <v>162</v>
      </c>
      <c r="D9" s="1" t="s">
        <v>163</v>
      </c>
      <c r="E9" s="1">
        <v>2026.0</v>
      </c>
      <c r="F9" s="1" t="s">
        <v>80</v>
      </c>
      <c r="G9" s="1">
        <v>4.0</v>
      </c>
      <c r="H9" s="1" t="s">
        <v>164</v>
      </c>
      <c r="I9" s="1" t="s">
        <v>35</v>
      </c>
      <c r="J9" s="1">
        <v>2550.0</v>
      </c>
      <c r="K9" s="1">
        <v>2900.0</v>
      </c>
      <c r="L9" s="1" t="s">
        <v>165</v>
      </c>
      <c r="M9" s="1" t="s">
        <v>166</v>
      </c>
      <c r="N9" s="1" t="s">
        <v>167</v>
      </c>
      <c r="O9" s="2">
        <f>+1-5550123456</f>
        <v>-5550123455</v>
      </c>
      <c r="P9" s="1" t="s">
        <v>168</v>
      </c>
      <c r="Q9" s="1" t="s">
        <v>64</v>
      </c>
      <c r="R9" s="1" t="s">
        <v>41</v>
      </c>
      <c r="S9" s="1" t="s">
        <v>89</v>
      </c>
      <c r="T9" s="1" t="s">
        <v>42</v>
      </c>
      <c r="U9" s="1" t="s">
        <v>169</v>
      </c>
      <c r="V9" s="1" t="s">
        <v>68</v>
      </c>
      <c r="W9" s="1" t="s">
        <v>46</v>
      </c>
      <c r="X9" s="1" t="s">
        <v>170</v>
      </c>
      <c r="Y9" s="1" t="s">
        <v>112</v>
      </c>
      <c r="Z9" s="1" t="s">
        <v>47</v>
      </c>
      <c r="AA9" s="1" t="s">
        <v>50</v>
      </c>
      <c r="AB9" s="1" t="s">
        <v>171</v>
      </c>
      <c r="AC9" s="1" t="s">
        <v>172</v>
      </c>
      <c r="AD9" s="1" t="s">
        <v>53</v>
      </c>
    </row>
    <row r="10">
      <c r="A10" s="1">
        <v>109.0</v>
      </c>
      <c r="B10" s="1" t="s">
        <v>173</v>
      </c>
      <c r="C10" s="1" t="s">
        <v>174</v>
      </c>
      <c r="D10" s="1" t="s">
        <v>175</v>
      </c>
      <c r="E10" s="1">
        <v>2027.0</v>
      </c>
      <c r="F10" s="1" t="s">
        <v>33</v>
      </c>
      <c r="G10" s="1">
        <v>9.4</v>
      </c>
      <c r="H10" s="1" t="s">
        <v>176</v>
      </c>
      <c r="I10" s="1" t="s">
        <v>102</v>
      </c>
      <c r="J10" s="1">
        <v>1950.0</v>
      </c>
      <c r="K10" s="1">
        <v>2400.0</v>
      </c>
      <c r="L10" s="1" t="s">
        <v>177</v>
      </c>
      <c r="M10" s="1" t="s">
        <v>178</v>
      </c>
      <c r="N10" s="1" t="s">
        <v>179</v>
      </c>
      <c r="O10" s="2">
        <f>+91-9876543217</f>
        <v>-9876543126</v>
      </c>
      <c r="P10" s="1" t="s">
        <v>86</v>
      </c>
      <c r="Q10" s="1" t="s">
        <v>87</v>
      </c>
      <c r="R10" s="1" t="s">
        <v>41</v>
      </c>
      <c r="S10" s="1" t="s">
        <v>180</v>
      </c>
      <c r="T10" s="1" t="s">
        <v>66</v>
      </c>
      <c r="U10" s="1" t="s">
        <v>181</v>
      </c>
      <c r="V10" s="1" t="s">
        <v>45</v>
      </c>
      <c r="W10" s="1" t="s">
        <v>69</v>
      </c>
      <c r="X10" s="1" t="s">
        <v>182</v>
      </c>
      <c r="Y10" s="1" t="s">
        <v>183</v>
      </c>
      <c r="Z10" s="1" t="s">
        <v>184</v>
      </c>
      <c r="AA10" s="1" t="s">
        <v>95</v>
      </c>
      <c r="AB10" s="1" t="s">
        <v>185</v>
      </c>
      <c r="AC10" s="1" t="s">
        <v>186</v>
      </c>
      <c r="AD10" s="1" t="s">
        <v>76</v>
      </c>
    </row>
    <row r="11">
      <c r="A11" s="1">
        <v>110.0</v>
      </c>
      <c r="B11" s="1" t="s">
        <v>187</v>
      </c>
      <c r="C11" s="1" t="s">
        <v>188</v>
      </c>
      <c r="D11" s="1" t="s">
        <v>189</v>
      </c>
      <c r="E11" s="1">
        <v>2026.0</v>
      </c>
      <c r="F11" s="1" t="s">
        <v>33</v>
      </c>
      <c r="G11" s="1">
        <v>9.3</v>
      </c>
      <c r="H11" s="1" t="s">
        <v>190</v>
      </c>
      <c r="I11" s="1" t="s">
        <v>120</v>
      </c>
      <c r="J11" s="1">
        <v>1500.0</v>
      </c>
      <c r="K11" s="1">
        <v>2050.0</v>
      </c>
      <c r="L11" s="1" t="s">
        <v>191</v>
      </c>
      <c r="M11" s="1" t="s">
        <v>192</v>
      </c>
      <c r="N11" s="1" t="s">
        <v>193</v>
      </c>
      <c r="O11" s="2">
        <f>+91-9876543218</f>
        <v>-9876543127</v>
      </c>
      <c r="P11" s="1" t="s">
        <v>63</v>
      </c>
      <c r="Q11" s="1" t="s">
        <v>40</v>
      </c>
      <c r="R11" s="1" t="s">
        <v>41</v>
      </c>
      <c r="S11" s="1" t="s">
        <v>194</v>
      </c>
      <c r="T11" s="1" t="s">
        <v>66</v>
      </c>
      <c r="U11" s="1" t="s">
        <v>195</v>
      </c>
      <c r="V11" s="1" t="s">
        <v>45</v>
      </c>
      <c r="W11" s="1" t="s">
        <v>91</v>
      </c>
      <c r="X11" s="1" t="s">
        <v>196</v>
      </c>
      <c r="Y11" s="1" t="s">
        <v>197</v>
      </c>
      <c r="Z11" s="1" t="s">
        <v>198</v>
      </c>
      <c r="AA11" s="1" t="s">
        <v>50</v>
      </c>
      <c r="AB11" s="1" t="s">
        <v>199</v>
      </c>
      <c r="AC11" s="1" t="s">
        <v>200</v>
      </c>
      <c r="AD11" s="1" t="s">
        <v>131</v>
      </c>
    </row>
  </sheetData>
  <drawing r:id="rId1"/>
</worksheet>
</file>